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ENTRI\MOD 1\Assignment\Assignment 2\"/>
    </mc:Choice>
  </mc:AlternateContent>
  <xr:revisionPtr revIDLastSave="0" documentId="8_{75E8FCC4-D249-401D-A94E-DED2037700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I2" i="2"/>
  <c r="B36" i="2"/>
  <c r="B35" i="2"/>
  <c r="I1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I3" i="2"/>
  <c r="I4" i="2"/>
  <c r="I5" i="2"/>
  <c r="I6" i="2"/>
  <c r="I7" i="2"/>
  <c r="I8" i="2"/>
  <c r="I9" i="2"/>
  <c r="I10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</calcChain>
</file>

<file path=xl/sharedStrings.xml><?xml version="1.0" encoding="utf-8"?>
<sst xmlns="http://schemas.openxmlformats.org/spreadsheetml/2006/main" count="185" uniqueCount="120">
  <si>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</si>
  <si>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</si>
  <si>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</si>
  <si>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</si>
  <si>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</si>
  <si>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</si>
  <si>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</si>
  <si>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</si>
  <si>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</si>
  <si>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</si>
  <si>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</si>
  <si>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</si>
  <si>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</si>
  <si>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</si>
  <si>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</si>
  <si>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</si>
  <si>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</si>
  <si>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</si>
  <si>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</si>
  <si>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</si>
  <si>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</si>
  <si>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</si>
  <si>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</si>
  <si>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</si>
  <si>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</si>
  <si>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</si>
  <si>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</si>
  <si>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</si>
  <si>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</si>
  <si>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</si>
  <si>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</si>
  <si>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</si>
  <si>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</si>
  <si>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</si>
  <si>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</si>
  <si>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</si>
  <si>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</si>
  <si>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</si>
  <si>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</si>
  <si>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</si>
  <si>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</si>
  <si>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</si>
  <si>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</si>
  <si>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</si>
  <si>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</si>
  <si>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</si>
  <si>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</si>
  <si>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</si>
  <si>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</si>
  <si>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</si>
  <si>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</si>
  <si>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</si>
  <si>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</si>
  <si>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</si>
  <si>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</si>
  <si>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</si>
  <si>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</si>
  <si>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</si>
  <si>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</si>
  <si>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</si>
  <si>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</si>
  <si>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</si>
  <si>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</si>
  <si>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</si>
  <si>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</si>
  <si>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</si>
  <si>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</si>
  <si>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</si>
  <si>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</si>
  <si>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</si>
  <si>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</si>
  <si>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</si>
  <si>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</si>
  <si>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</si>
  <si>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</si>
  <si>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</si>
  <si>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</si>
  <si>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</si>
  <si>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</si>
  <si>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</si>
  <si>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</si>
  <si>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</si>
  <si>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</si>
  <si>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</si>
  <si>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</si>
  <si>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</si>
  <si>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</si>
  <si>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</si>
  <si>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</si>
  <si>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</si>
  <si>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</si>
  <si>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</si>
  <si>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</si>
  <si>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</si>
  <si>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</si>
  <si>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</si>
  <si>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</si>
  <si>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</si>
  <si>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</si>
  <si>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</si>
  <si>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</si>
  <si>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</si>
  <si>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</si>
  <si>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</si>
  <si>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</si>
  <si>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</si>
  <si>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</si>
  <si>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</si>
  <si>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</si>
  <si>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</si>
  <si>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</si>
  <si>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</si>
  <si>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</t>
  </si>
  <si>
    <t>Answers</t>
  </si>
  <si>
    <t>1A</t>
  </si>
  <si>
    <t>1B</t>
  </si>
  <si>
    <t>Manufacturing Date</t>
  </si>
  <si>
    <t>Country Code</t>
  </si>
  <si>
    <t>Product Brand</t>
  </si>
  <si>
    <r>
      <t>•</t>
    </r>
    <r>
      <rPr>
        <sz val="12"/>
        <color rgb="FFFF0000"/>
        <rFont val="Times New Roman"/>
        <family val="1"/>
      </rPr>
      <t xml:space="preserve"> </t>
    </r>
    <r>
      <rPr>
        <sz val="12"/>
        <rFont val="Times New Roman"/>
        <family val="1"/>
      </rPr>
      <t xml:space="preserve">Format the "Manufacturing Date" column to display dates in the "DD-MM-YYYY " format.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</si>
</sst>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"/>
    <numFmt numFmtId="175" formatCode="[$-409]d\-mmm\-yy;@"/>
  </numFmts>
  <fonts count="1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0"/>
      <color rgb="FFFF0000"/>
      <name val="Arial"/>
      <family val="2"/>
    </font>
    <font>
      <sz val="10"/>
      <color rgb="FFFF0000"/>
      <name val="Arial"/>
      <family val="2"/>
      <scheme val="minor"/>
    </font>
    <font>
      <sz val="12"/>
      <color rgb="FFFF0000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10" fillId="2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  <xf numFmtId="166" fontId="10" fillId="2" borderId="0" xfId="0" applyNumberFormat="1" applyFont="1" applyFill="1" applyAlignment="1">
      <alignment horizontal="center"/>
    </xf>
    <xf numFmtId="166" fontId="0" fillId="0" borderId="0" xfId="0" applyNumberFormat="1"/>
    <xf numFmtId="0" fontId="10" fillId="2" borderId="0" xfId="0" applyNumberFormat="1" applyFont="1" applyFill="1" applyAlignment="1">
      <alignment horizontal="center"/>
    </xf>
    <xf numFmtId="0" fontId="0" fillId="0" borderId="0" xfId="0" applyNumberFormat="1"/>
    <xf numFmtId="175" fontId="10" fillId="2" borderId="0" xfId="0" applyNumberFormat="1" applyFont="1" applyFill="1" applyAlignment="1">
      <alignment horizontal="center"/>
    </xf>
    <xf numFmtId="175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u val="none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showGridLines="0" tabSelected="1" topLeftCell="A10" workbookViewId="0">
      <selection activeCell="K21" sqref="K21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2" ht="15.75" customHeight="1" x14ac:dyDescent="0.25">
      <c r="A1" s="1" t="s">
        <v>0</v>
      </c>
    </row>
    <row r="2" spans="1:12" ht="15.75" customHeight="1" x14ac:dyDescent="0.2"/>
    <row r="3" spans="1:12" ht="15.75" customHeight="1" x14ac:dyDescent="0.25">
      <c r="B3" s="2" t="s">
        <v>1</v>
      </c>
    </row>
    <row r="4" spans="1:12" ht="15.75" customHeight="1" x14ac:dyDescent="0.25">
      <c r="C4" s="3" t="s">
        <v>2</v>
      </c>
    </row>
    <row r="5" spans="1:12" ht="15.75" customHeight="1" x14ac:dyDescent="0.25">
      <c r="B5" s="4"/>
      <c r="C5" s="3" t="s">
        <v>3</v>
      </c>
    </row>
    <row r="6" spans="1:12" ht="15.75" customHeight="1" x14ac:dyDescent="0.25">
      <c r="B6" s="4"/>
    </row>
    <row r="7" spans="1:12" ht="15.75" customHeight="1" x14ac:dyDescent="0.25">
      <c r="B7" s="2" t="s">
        <v>4</v>
      </c>
    </row>
    <row r="8" spans="1:12" ht="15.75" customHeight="1" x14ac:dyDescent="0.25">
      <c r="C8" s="15" t="s">
        <v>5</v>
      </c>
    </row>
    <row r="9" spans="1:12" ht="15.75" customHeight="1" x14ac:dyDescent="0.25">
      <c r="C9" s="3" t="s">
        <v>6</v>
      </c>
    </row>
    <row r="10" spans="1:12" ht="15.75" customHeight="1" x14ac:dyDescent="0.25">
      <c r="C10" s="3" t="s">
        <v>7</v>
      </c>
    </row>
    <row r="11" spans="1:12" ht="15.75" customHeight="1" x14ac:dyDescent="0.25">
      <c r="B11" s="4"/>
    </row>
    <row r="12" spans="1:12" ht="15.75" customHeight="1" x14ac:dyDescent="0.25">
      <c r="B12" s="2" t="s">
        <v>8</v>
      </c>
    </row>
    <row r="13" spans="1:12" ht="15.75" customHeight="1" x14ac:dyDescent="0.25">
      <c r="B13" s="2"/>
      <c r="C13" s="3" t="s">
        <v>9</v>
      </c>
    </row>
    <row r="14" spans="1:12" ht="15.75" customHeight="1" x14ac:dyDescent="0.2"/>
    <row r="15" spans="1:12" ht="15.75" customHeight="1" x14ac:dyDescent="0.25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2" ht="15.75" customHeight="1" x14ac:dyDescent="0.25">
      <c r="B16" s="5"/>
      <c r="C16" s="18" t="s">
        <v>11</v>
      </c>
      <c r="D16" s="5"/>
      <c r="E16" s="5"/>
      <c r="F16" s="5"/>
      <c r="G16" s="5"/>
      <c r="H16" s="5"/>
      <c r="I16" s="5"/>
      <c r="J16" s="16"/>
      <c r="K16" s="16"/>
      <c r="L16" s="17"/>
    </row>
    <row r="17" spans="2:11" ht="15.75" customHeight="1" x14ac:dyDescent="0.25">
      <c r="B17" s="5"/>
      <c r="C17" s="15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15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15" t="s">
        <v>119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" t="s">
        <v>15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3" t="s">
        <v>16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15" t="s">
        <v>17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N990"/>
  <sheetViews>
    <sheetView zoomScale="60" zoomScaleNormal="60" workbookViewId="0">
      <selection activeCell="L32" sqref="L32"/>
    </sheetView>
  </sheetViews>
  <sheetFormatPr defaultColWidth="12.5703125" defaultRowHeight="15" customHeight="1" x14ac:dyDescent="0.2"/>
  <cols>
    <col min="1" max="1" width="11.85546875" customWidth="1"/>
    <col min="2" max="2" width="14.28515625" bestFit="1" customWidth="1"/>
    <col min="3" max="3" width="12.28515625" bestFit="1" customWidth="1"/>
    <col min="4" max="5" width="8.7109375" bestFit="1" customWidth="1"/>
    <col min="6" max="6" width="11.5703125" bestFit="1" customWidth="1"/>
    <col min="7" max="7" width="12.5703125" style="20"/>
    <col min="8" max="8" width="11.5703125" bestFit="1" customWidth="1"/>
    <col min="9" max="9" width="19.28515625" style="22" bestFit="1" customWidth="1"/>
    <col min="10" max="10" width="14.140625" bestFit="1" customWidth="1"/>
    <col min="11" max="11" width="22" bestFit="1" customWidth="1"/>
    <col min="12" max="12" width="19" style="24" bestFit="1" customWidth="1"/>
  </cols>
  <sheetData>
    <row r="1" spans="1:14" ht="15.75" customHeight="1" x14ac:dyDescent="0.2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19" t="s">
        <v>112</v>
      </c>
      <c r="H1" s="7" t="s">
        <v>23</v>
      </c>
      <c r="I1" s="21" t="s">
        <v>116</v>
      </c>
      <c r="J1" s="9" t="s">
        <v>117</v>
      </c>
      <c r="K1" s="9" t="s">
        <v>118</v>
      </c>
      <c r="L1" s="23" t="s">
        <v>116</v>
      </c>
    </row>
    <row r="2" spans="1:14" ht="15.75" customHeight="1" x14ac:dyDescent="0.2">
      <c r="A2" s="5" t="s">
        <v>24</v>
      </c>
      <c r="B2" s="5" t="s">
        <v>58</v>
      </c>
      <c r="C2" s="5" t="s">
        <v>25</v>
      </c>
      <c r="D2" s="5">
        <v>1000</v>
      </c>
      <c r="E2" s="5">
        <v>30</v>
      </c>
      <c r="F2" s="5" t="s">
        <v>26</v>
      </c>
      <c r="G2" s="20">
        <f>IF(ISBLANK(D2),MEDIAN($D$2:$D$35),D2)</f>
        <v>1000</v>
      </c>
      <c r="H2" s="14" t="s">
        <v>26</v>
      </c>
      <c r="I2" s="22" t="str">
        <f>SUBSTITUTE(LEFT(A2,6),"-"," ")</f>
        <v>28 JAN</v>
      </c>
      <c r="J2" t="str">
        <f>RIGHT(A2,2)</f>
        <v>US</v>
      </c>
      <c r="K2" t="str">
        <f>CONCATENATE(B2," ",C2)</f>
        <v>Laptop Dell</v>
      </c>
      <c r="L2" s="24">
        <f>DATEVALUE(I2&amp;" 2021")</f>
        <v>44224</v>
      </c>
    </row>
    <row r="3" spans="1:14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20">
        <f>IF(ISBLANK(D3),MEDIAN($D$2:$D$35),D3)</f>
        <v>80</v>
      </c>
      <c r="H3" s="8" t="s">
        <v>30</v>
      </c>
      <c r="I3" s="22" t="str">
        <f t="shared" ref="I3:I32" si="0">SUBSTITUTE(LEFT(A3,6),"-"," ")</f>
        <v>15 FEB</v>
      </c>
      <c r="J3" t="str">
        <f t="shared" ref="J3:J32" si="1">RIGHT(A3,2)</f>
        <v>US</v>
      </c>
      <c r="K3" t="str">
        <f t="shared" ref="K3:K32" si="2">CONCATENATE(B3," ",C3)</f>
        <v>Sneakers Nike</v>
      </c>
      <c r="L3" s="24">
        <f t="shared" ref="L3:L32" si="3">DATEVALUE(I3&amp;" 2021")</f>
        <v>44242</v>
      </c>
      <c r="M3" s="5"/>
      <c r="N3" s="5"/>
    </row>
    <row r="4" spans="1:14" ht="15.75" customHeight="1" x14ac:dyDescent="0.2">
      <c r="A4" s="5" t="s">
        <v>31</v>
      </c>
      <c r="B4" s="5" t="s">
        <v>32</v>
      </c>
      <c r="C4" s="5" t="s">
        <v>33</v>
      </c>
      <c r="D4" s="5">
        <v>130</v>
      </c>
      <c r="E4" s="5">
        <v>40</v>
      </c>
      <c r="F4" s="5" t="s">
        <v>34</v>
      </c>
      <c r="G4" s="20">
        <f>IF(ISBLANK(D4),MEDIAN($D$2:$D$35),D4)</f>
        <v>130</v>
      </c>
      <c r="H4" s="5" t="s">
        <v>34</v>
      </c>
      <c r="I4" s="22" t="str">
        <f t="shared" si="0"/>
        <v>03 MAR</v>
      </c>
      <c r="J4" t="str">
        <f t="shared" si="1"/>
        <v>US</v>
      </c>
      <c r="K4" t="str">
        <f t="shared" si="2"/>
        <v>Coffee Maker Keurig</v>
      </c>
      <c r="L4" s="24">
        <f t="shared" si="3"/>
        <v>44258</v>
      </c>
      <c r="M4" s="5"/>
      <c r="N4" s="5"/>
    </row>
    <row r="5" spans="1:14" ht="15.75" customHeight="1" x14ac:dyDescent="0.2">
      <c r="A5" s="8" t="s">
        <v>35</v>
      </c>
      <c r="B5" s="8" t="s">
        <v>92</v>
      </c>
      <c r="C5" s="8" t="s">
        <v>36</v>
      </c>
      <c r="D5" s="8">
        <v>900</v>
      </c>
      <c r="E5" s="8">
        <v>25</v>
      </c>
      <c r="F5" s="8" t="s">
        <v>26</v>
      </c>
      <c r="G5" s="20">
        <f>IF(ISBLANK(D5),MEDIAN($D$2:$D$35),D5)</f>
        <v>900</v>
      </c>
      <c r="H5" s="8" t="s">
        <v>26</v>
      </c>
      <c r="I5" s="22" t="str">
        <f t="shared" si="0"/>
        <v>11 APR</v>
      </c>
      <c r="J5" t="str">
        <f t="shared" si="1"/>
        <v>US</v>
      </c>
      <c r="K5" t="str">
        <f t="shared" si="2"/>
        <v>Smartphone Samsung</v>
      </c>
      <c r="L5" s="24">
        <f t="shared" si="3"/>
        <v>44297</v>
      </c>
      <c r="M5" s="5"/>
      <c r="N5" s="5"/>
    </row>
    <row r="6" spans="1:14" ht="15.75" customHeight="1" x14ac:dyDescent="0.2">
      <c r="A6" s="5" t="s">
        <v>37</v>
      </c>
      <c r="B6" s="5" t="s">
        <v>38</v>
      </c>
      <c r="C6" s="5" t="s">
        <v>39</v>
      </c>
      <c r="D6" s="5">
        <v>70</v>
      </c>
      <c r="E6" s="5">
        <v>20</v>
      </c>
      <c r="F6" s="5"/>
      <c r="G6" s="20">
        <f>IF(ISBLANK(D6),MEDIAN($D$2:$D$35),D6)</f>
        <v>70</v>
      </c>
      <c r="H6" s="8" t="s">
        <v>71</v>
      </c>
      <c r="I6" s="22" t="str">
        <f t="shared" si="0"/>
        <v>22 MAY</v>
      </c>
      <c r="J6" t="str">
        <f t="shared" si="1"/>
        <v>US</v>
      </c>
      <c r="K6" t="str">
        <f t="shared" si="2"/>
        <v>Backpack North Face</v>
      </c>
      <c r="L6" s="24">
        <f t="shared" si="3"/>
        <v>44338</v>
      </c>
    </row>
    <row r="7" spans="1:14" ht="15.75" customHeight="1" x14ac:dyDescent="0.2">
      <c r="A7" s="8" t="s">
        <v>40</v>
      </c>
      <c r="B7" s="8" t="s">
        <v>41</v>
      </c>
      <c r="C7" s="8" t="s">
        <v>42</v>
      </c>
      <c r="D7" s="8"/>
      <c r="E7" s="8">
        <v>45</v>
      </c>
      <c r="F7" s="8" t="s">
        <v>43</v>
      </c>
      <c r="G7" s="20">
        <f>IF(ISBLANK(D7),MEDIAN($D$2:$D$35),D7)</f>
        <v>130</v>
      </c>
      <c r="H7" s="8" t="s">
        <v>26</v>
      </c>
      <c r="I7" s="22" t="str">
        <f t="shared" si="0"/>
        <v>07 JUN</v>
      </c>
      <c r="J7" t="str">
        <f t="shared" si="1"/>
        <v>UK</v>
      </c>
      <c r="K7" t="str">
        <f t="shared" si="2"/>
        <v>Headphones Sony</v>
      </c>
      <c r="L7" s="24">
        <f t="shared" si="3"/>
        <v>44354</v>
      </c>
    </row>
    <row r="8" spans="1:14" ht="15.75" customHeight="1" x14ac:dyDescent="0.2">
      <c r="A8" s="5" t="s">
        <v>44</v>
      </c>
      <c r="B8" s="5" t="s">
        <v>45</v>
      </c>
      <c r="C8" s="5" t="s">
        <v>46</v>
      </c>
      <c r="D8" s="5">
        <v>30</v>
      </c>
      <c r="E8" s="5">
        <v>5</v>
      </c>
      <c r="F8" s="5" t="s">
        <v>30</v>
      </c>
      <c r="G8" s="20">
        <f>IF(ISBLANK(D8),MEDIAN($D$2:$D$35),D8)</f>
        <v>30</v>
      </c>
      <c r="H8" s="5" t="s">
        <v>30</v>
      </c>
      <c r="I8" s="22" t="str">
        <f t="shared" si="0"/>
        <v>19 JUL</v>
      </c>
      <c r="J8" t="str">
        <f t="shared" si="1"/>
        <v>UK</v>
      </c>
      <c r="K8" t="str">
        <f t="shared" si="2"/>
        <v>T-shirt Adidas</v>
      </c>
      <c r="L8" s="24">
        <f t="shared" si="3"/>
        <v>44396</v>
      </c>
    </row>
    <row r="9" spans="1:14" ht="15.75" customHeight="1" x14ac:dyDescent="0.2">
      <c r="A9" s="8" t="s">
        <v>47</v>
      </c>
      <c r="B9" s="8" t="s">
        <v>48</v>
      </c>
      <c r="C9" s="8" t="s">
        <v>49</v>
      </c>
      <c r="D9" s="8">
        <v>90</v>
      </c>
      <c r="E9" s="8">
        <v>35</v>
      </c>
      <c r="F9" s="8" t="s">
        <v>34</v>
      </c>
      <c r="G9" s="20">
        <f>IF(ISBLANK(D9),MEDIAN($D$2:$D$35),D9)</f>
        <v>90</v>
      </c>
      <c r="H9" s="8" t="s">
        <v>34</v>
      </c>
      <c r="I9" s="22" t="str">
        <f t="shared" si="0"/>
        <v>23 AUG</v>
      </c>
      <c r="J9" t="str">
        <f t="shared" si="1"/>
        <v>UK</v>
      </c>
      <c r="K9" t="str">
        <f t="shared" si="2"/>
        <v>Blender Ninja</v>
      </c>
      <c r="L9" s="24">
        <f t="shared" si="3"/>
        <v>44431</v>
      </c>
    </row>
    <row r="10" spans="1:14" ht="15.75" customHeight="1" x14ac:dyDescent="0.2">
      <c r="A10" s="5" t="s">
        <v>50</v>
      </c>
      <c r="B10" s="5" t="s">
        <v>51</v>
      </c>
      <c r="C10" s="5" t="s">
        <v>52</v>
      </c>
      <c r="D10" s="5">
        <v>500</v>
      </c>
      <c r="E10" s="5">
        <v>50</v>
      </c>
      <c r="F10" s="5" t="s">
        <v>26</v>
      </c>
      <c r="G10" s="20">
        <f>IF(ISBLANK(D10),MEDIAN($D$2:$D$35),D10)</f>
        <v>500</v>
      </c>
      <c r="H10" s="5" t="s">
        <v>26</v>
      </c>
      <c r="I10" s="22" t="str">
        <f t="shared" si="0"/>
        <v>05 SEP</v>
      </c>
      <c r="J10" t="str">
        <f t="shared" si="1"/>
        <v>UK</v>
      </c>
      <c r="K10" t="str">
        <f t="shared" si="2"/>
        <v>Tablet Apple</v>
      </c>
      <c r="L10" s="24">
        <f t="shared" si="3"/>
        <v>44444</v>
      </c>
    </row>
    <row r="11" spans="1:14" ht="15.75" customHeight="1" x14ac:dyDescent="0.2">
      <c r="A11" s="8" t="s">
        <v>53</v>
      </c>
      <c r="B11" s="8" t="s">
        <v>54</v>
      </c>
      <c r="C11" s="8" t="s">
        <v>55</v>
      </c>
      <c r="D11" s="8">
        <v>130</v>
      </c>
      <c r="E11" s="8">
        <v>10</v>
      </c>
      <c r="F11" s="8" t="s">
        <v>56</v>
      </c>
      <c r="G11" s="20">
        <f>IF(ISBLANK(D11),MEDIAN($D$2:$D$35),D11)</f>
        <v>130</v>
      </c>
      <c r="H11" s="8" t="s">
        <v>56</v>
      </c>
      <c r="I11" s="22" t="str">
        <f>SUBSTITUTE(LEFT(A11,6),"-"," ")</f>
        <v>14 OCT</v>
      </c>
      <c r="J11" t="str">
        <f t="shared" si="1"/>
        <v>UK</v>
      </c>
      <c r="K11" t="str">
        <f t="shared" si="2"/>
        <v>Hiking Boots Timberland</v>
      </c>
      <c r="L11" s="24">
        <f t="shared" si="3"/>
        <v>44483</v>
      </c>
    </row>
    <row r="12" spans="1:14" ht="15.75" customHeight="1" x14ac:dyDescent="0.2">
      <c r="A12" s="5" t="s">
        <v>57</v>
      </c>
      <c r="B12" s="5" t="s">
        <v>58</v>
      </c>
      <c r="C12" s="5" t="s">
        <v>59</v>
      </c>
      <c r="D12" s="5">
        <v>950</v>
      </c>
      <c r="E12" s="5">
        <v>25</v>
      </c>
      <c r="F12" s="5" t="s">
        <v>26</v>
      </c>
      <c r="G12" s="20">
        <f>IF(ISBLANK(D12),MEDIAN($D$2:$D$35),D12)</f>
        <v>950</v>
      </c>
      <c r="H12" s="5" t="s">
        <v>26</v>
      </c>
      <c r="I12" s="22" t="str">
        <f t="shared" si="0"/>
        <v>17 JUN</v>
      </c>
      <c r="J12" t="str">
        <f t="shared" si="1"/>
        <v>IN</v>
      </c>
      <c r="K12" t="str">
        <f t="shared" si="2"/>
        <v>Laptop HP</v>
      </c>
      <c r="L12" s="24">
        <f t="shared" si="3"/>
        <v>44364</v>
      </c>
    </row>
    <row r="13" spans="1:14" ht="15.75" customHeight="1" x14ac:dyDescent="0.2">
      <c r="A13" s="8" t="s">
        <v>60</v>
      </c>
      <c r="B13" s="8" t="s">
        <v>28</v>
      </c>
      <c r="C13" s="8" t="s">
        <v>46</v>
      </c>
      <c r="D13" s="8">
        <v>90</v>
      </c>
      <c r="E13" s="8">
        <v>40</v>
      </c>
      <c r="F13" s="8"/>
      <c r="G13" s="20">
        <f>IF(ISBLANK(D13),MEDIAN($D$2:$D$35),D13)</f>
        <v>90</v>
      </c>
      <c r="H13" s="5" t="s">
        <v>30</v>
      </c>
      <c r="I13" s="22" t="str">
        <f t="shared" si="0"/>
        <v>25 NOV</v>
      </c>
      <c r="J13" t="str">
        <f t="shared" si="1"/>
        <v>AU</v>
      </c>
      <c r="K13" t="str">
        <f t="shared" si="2"/>
        <v>Sneakers Adidas</v>
      </c>
      <c r="L13" s="24">
        <f t="shared" si="3"/>
        <v>44525</v>
      </c>
    </row>
    <row r="14" spans="1:14" ht="15.75" customHeight="1" x14ac:dyDescent="0.2">
      <c r="A14" s="5" t="s">
        <v>61</v>
      </c>
      <c r="B14" s="5" t="s">
        <v>32</v>
      </c>
      <c r="C14" s="5" t="s">
        <v>62</v>
      </c>
      <c r="D14" s="5">
        <v>120</v>
      </c>
      <c r="E14" s="5">
        <v>35</v>
      </c>
      <c r="F14" s="5"/>
      <c r="G14" s="20">
        <f>IF(ISBLANK(D14),MEDIAN($D$2:$D$35),D14)</f>
        <v>120</v>
      </c>
      <c r="H14" s="8" t="s">
        <v>34</v>
      </c>
      <c r="I14" s="22" t="str">
        <f t="shared" si="0"/>
        <v>08 DEC</v>
      </c>
      <c r="J14" t="str">
        <f t="shared" si="1"/>
        <v>DE</v>
      </c>
      <c r="K14" t="str">
        <f t="shared" si="2"/>
        <v>Coffee Maker Nespresso</v>
      </c>
      <c r="L14" s="24">
        <f t="shared" si="3"/>
        <v>44538</v>
      </c>
    </row>
    <row r="15" spans="1:14" ht="15.75" customHeight="1" x14ac:dyDescent="0.2">
      <c r="A15" s="8" t="s">
        <v>63</v>
      </c>
      <c r="B15" s="8" t="s">
        <v>64</v>
      </c>
      <c r="C15" s="8" t="s">
        <v>65</v>
      </c>
      <c r="D15" s="8">
        <v>150</v>
      </c>
      <c r="E15" s="8">
        <v>15</v>
      </c>
      <c r="F15" s="8" t="s">
        <v>43</v>
      </c>
      <c r="G15" s="20">
        <f>IF(ISBLANK(D15),MEDIAN($D$2:$D$35),D15)</f>
        <v>150</v>
      </c>
      <c r="H15" s="8" t="s">
        <v>26</v>
      </c>
      <c r="I15" s="22" t="str">
        <f t="shared" si="0"/>
        <v>18 FEB</v>
      </c>
      <c r="J15" t="str">
        <f t="shared" si="1"/>
        <v>CA</v>
      </c>
      <c r="K15" t="str">
        <f t="shared" si="2"/>
        <v>Smartwatch Fitbit</v>
      </c>
      <c r="L15" s="24">
        <f t="shared" si="3"/>
        <v>44245</v>
      </c>
    </row>
    <row r="16" spans="1:14" ht="15.75" customHeight="1" x14ac:dyDescent="0.2">
      <c r="A16" s="5" t="s">
        <v>66</v>
      </c>
      <c r="B16" s="5" t="s">
        <v>41</v>
      </c>
      <c r="C16" s="5" t="s">
        <v>67</v>
      </c>
      <c r="D16" s="5">
        <v>250</v>
      </c>
      <c r="E16" s="5">
        <v>20</v>
      </c>
      <c r="F16" s="5" t="s">
        <v>43</v>
      </c>
      <c r="G16" s="20">
        <f>IF(ISBLANK(D16),MEDIAN($D$2:$D$35),D16)</f>
        <v>250</v>
      </c>
      <c r="H16" s="5" t="s">
        <v>26</v>
      </c>
      <c r="I16" s="22" t="str">
        <f t="shared" si="0"/>
        <v>16 APR</v>
      </c>
      <c r="J16" t="str">
        <f t="shared" si="1"/>
        <v>ES</v>
      </c>
      <c r="K16" t="str">
        <f t="shared" si="2"/>
        <v>Headphones Bose</v>
      </c>
      <c r="L16" s="24">
        <f t="shared" si="3"/>
        <v>44302</v>
      </c>
    </row>
    <row r="17" spans="1:12" ht="15.75" customHeight="1" x14ac:dyDescent="0.2">
      <c r="A17" s="8" t="s">
        <v>68</v>
      </c>
      <c r="B17" s="8" t="s">
        <v>69</v>
      </c>
      <c r="C17" s="8" t="s">
        <v>70</v>
      </c>
      <c r="D17" s="8">
        <v>50</v>
      </c>
      <c r="E17" s="8">
        <v>35</v>
      </c>
      <c r="F17" s="8" t="s">
        <v>71</v>
      </c>
      <c r="G17" s="20">
        <f>IF(ISBLANK(D17),MEDIAN($D$2:$D$35),D17)</f>
        <v>50</v>
      </c>
      <c r="H17" s="8" t="s">
        <v>71</v>
      </c>
      <c r="I17" s="22" t="str">
        <f t="shared" si="0"/>
        <v>21 AUG</v>
      </c>
      <c r="J17" t="str">
        <f t="shared" si="1"/>
        <v>CA</v>
      </c>
      <c r="K17" t="str">
        <f t="shared" si="2"/>
        <v>Laptop Bag Samsonite</v>
      </c>
      <c r="L17" s="24">
        <f t="shared" si="3"/>
        <v>44429</v>
      </c>
    </row>
    <row r="18" spans="1:12" ht="15.75" customHeight="1" x14ac:dyDescent="0.2">
      <c r="A18" s="5" t="s">
        <v>72</v>
      </c>
      <c r="B18" s="5" t="s">
        <v>64</v>
      </c>
      <c r="C18" s="5" t="s">
        <v>73</v>
      </c>
      <c r="D18" s="5">
        <v>160</v>
      </c>
      <c r="E18" s="5">
        <v>15</v>
      </c>
      <c r="F18" s="5" t="s">
        <v>43</v>
      </c>
      <c r="G18" s="20">
        <f>IF(ISBLANK(D18),MEDIAN($D$2:$D$35),D18)</f>
        <v>160</v>
      </c>
      <c r="H18" s="5" t="s">
        <v>26</v>
      </c>
      <c r="I18" s="22" t="str">
        <f t="shared" si="0"/>
        <v>20 AUG</v>
      </c>
      <c r="J18" t="str">
        <f t="shared" si="1"/>
        <v>CN</v>
      </c>
      <c r="K18" t="str">
        <f t="shared" si="2"/>
        <v>Smartwatch Huawei</v>
      </c>
      <c r="L18" s="24">
        <f t="shared" si="3"/>
        <v>44428</v>
      </c>
    </row>
    <row r="19" spans="1:12" ht="15.75" customHeight="1" x14ac:dyDescent="0.2">
      <c r="A19" s="8" t="s">
        <v>74</v>
      </c>
      <c r="B19" s="8" t="s">
        <v>58</v>
      </c>
      <c r="C19" s="8" t="s">
        <v>75</v>
      </c>
      <c r="D19" s="8">
        <v>980</v>
      </c>
      <c r="E19" s="8">
        <v>10</v>
      </c>
      <c r="F19" s="8" t="s">
        <v>26</v>
      </c>
      <c r="G19" s="20">
        <f>IF(ISBLANK(D19),MEDIAN($D$2:$D$35),D19)</f>
        <v>980</v>
      </c>
      <c r="H19" s="8" t="s">
        <v>26</v>
      </c>
      <c r="I19" s="22" t="str">
        <f t="shared" si="0"/>
        <v>27 JAN</v>
      </c>
      <c r="J19" t="str">
        <f t="shared" si="1"/>
        <v>IT</v>
      </c>
      <c r="K19" t="str">
        <f t="shared" si="2"/>
        <v>Laptop Asus</v>
      </c>
      <c r="L19" s="24">
        <f t="shared" si="3"/>
        <v>44223</v>
      </c>
    </row>
    <row r="20" spans="1:12" ht="15.75" customHeight="1" x14ac:dyDescent="0.2">
      <c r="A20" s="5" t="s">
        <v>76</v>
      </c>
      <c r="B20" s="5" t="s">
        <v>77</v>
      </c>
      <c r="C20" s="5" t="s">
        <v>78</v>
      </c>
      <c r="D20" s="5">
        <v>150</v>
      </c>
      <c r="E20" s="5">
        <v>15</v>
      </c>
      <c r="F20" s="5" t="s">
        <v>30</v>
      </c>
      <c r="G20" s="20">
        <f>IF(ISBLANK(D20),MEDIAN($D$2:$D$35),D20)</f>
        <v>150</v>
      </c>
      <c r="H20" s="5" t="s">
        <v>30</v>
      </c>
      <c r="I20" s="22" t="str">
        <f t="shared" si="0"/>
        <v>01 MAR</v>
      </c>
      <c r="J20" t="str">
        <f t="shared" si="1"/>
        <v>UK</v>
      </c>
      <c r="K20" t="str">
        <f t="shared" si="2"/>
        <v>Sunglasses Oakley</v>
      </c>
      <c r="L20" s="24">
        <f t="shared" si="3"/>
        <v>44256</v>
      </c>
    </row>
    <row r="21" spans="1:12" ht="15.75" customHeight="1" x14ac:dyDescent="0.2">
      <c r="A21" s="8" t="s">
        <v>79</v>
      </c>
      <c r="B21" s="8" t="s">
        <v>80</v>
      </c>
      <c r="C21" s="8" t="s">
        <v>81</v>
      </c>
      <c r="D21" s="8"/>
      <c r="E21" s="8">
        <v>10</v>
      </c>
      <c r="F21" s="8" t="s">
        <v>56</v>
      </c>
      <c r="G21" s="20">
        <f>IF(ISBLANK(D21),MEDIAN($D$2:$D$35),D21)</f>
        <v>130</v>
      </c>
      <c r="H21" s="8" t="s">
        <v>56</v>
      </c>
      <c r="I21" s="22" t="str">
        <f t="shared" si="0"/>
        <v>14 AUG</v>
      </c>
      <c r="J21" t="str">
        <f t="shared" si="1"/>
        <v>US</v>
      </c>
      <c r="K21" t="str">
        <f t="shared" si="2"/>
        <v>Camping Tent Coleman</v>
      </c>
      <c r="L21" s="24">
        <f t="shared" si="3"/>
        <v>44422</v>
      </c>
    </row>
    <row r="22" spans="1:12" ht="15.75" customHeight="1" x14ac:dyDescent="0.2">
      <c r="A22" s="5" t="s">
        <v>82</v>
      </c>
      <c r="B22" s="5" t="s">
        <v>83</v>
      </c>
      <c r="C22" s="5" t="s">
        <v>84</v>
      </c>
      <c r="D22" s="5">
        <v>700</v>
      </c>
      <c r="E22" s="5">
        <v>50</v>
      </c>
      <c r="F22" s="5" t="s">
        <v>26</v>
      </c>
      <c r="G22" s="20">
        <f>IF(ISBLANK(D22),MEDIAN($D$2:$D$35),D22)</f>
        <v>700</v>
      </c>
      <c r="H22" s="5" t="s">
        <v>26</v>
      </c>
      <c r="I22" s="22" t="str">
        <f t="shared" si="0"/>
        <v>14 MAY</v>
      </c>
      <c r="J22" t="str">
        <f t="shared" si="1"/>
        <v>RU</v>
      </c>
      <c r="K22" t="str">
        <f t="shared" si="2"/>
        <v>Camera Nikon</v>
      </c>
      <c r="L22" s="24">
        <f t="shared" si="3"/>
        <v>44330</v>
      </c>
    </row>
    <row r="23" spans="1:12" ht="15.75" customHeight="1" x14ac:dyDescent="0.2">
      <c r="A23" s="8" t="s">
        <v>85</v>
      </c>
      <c r="B23" s="8" t="s">
        <v>86</v>
      </c>
      <c r="C23" s="8" t="s">
        <v>87</v>
      </c>
      <c r="D23" s="8">
        <v>80</v>
      </c>
      <c r="E23" s="8">
        <v>20</v>
      </c>
      <c r="F23" s="8" t="s">
        <v>34</v>
      </c>
      <c r="G23" s="20">
        <f>IF(ISBLANK(D23),MEDIAN($D$2:$D$35),D23)</f>
        <v>80</v>
      </c>
      <c r="H23" s="8" t="s">
        <v>34</v>
      </c>
      <c r="I23" s="22" t="str">
        <f t="shared" si="0"/>
        <v>09 JAN</v>
      </c>
      <c r="J23" t="str">
        <f t="shared" si="1"/>
        <v>CA</v>
      </c>
      <c r="K23" t="str">
        <f t="shared" si="2"/>
        <v>Microwave Panasonic</v>
      </c>
      <c r="L23" s="24">
        <f t="shared" si="3"/>
        <v>44205</v>
      </c>
    </row>
    <row r="24" spans="1:12" ht="15.75" customHeight="1" x14ac:dyDescent="0.2">
      <c r="A24" s="5" t="s">
        <v>88</v>
      </c>
      <c r="B24" s="5" t="s">
        <v>89</v>
      </c>
      <c r="C24" s="5" t="s">
        <v>90</v>
      </c>
      <c r="D24" s="5">
        <v>150</v>
      </c>
      <c r="E24" s="5">
        <v>30</v>
      </c>
      <c r="F24" s="5"/>
      <c r="G24" s="20">
        <f>IF(ISBLANK(D24),MEDIAN($D$2:$D$35),D24)</f>
        <v>150</v>
      </c>
      <c r="H24" s="5" t="s">
        <v>26</v>
      </c>
      <c r="I24" s="22" t="str">
        <f t="shared" si="0"/>
        <v>19 JUL</v>
      </c>
      <c r="J24" t="str">
        <f t="shared" si="1"/>
        <v>BR</v>
      </c>
      <c r="K24" t="str">
        <f t="shared" si="2"/>
        <v>Fitness Tracker Xiaomi</v>
      </c>
      <c r="L24" s="24">
        <f t="shared" si="3"/>
        <v>44396</v>
      </c>
    </row>
    <row r="25" spans="1:12" ht="15.75" customHeight="1" x14ac:dyDescent="0.2">
      <c r="A25" s="5" t="s">
        <v>91</v>
      </c>
      <c r="B25" s="5" t="s">
        <v>92</v>
      </c>
      <c r="C25" s="5" t="s">
        <v>93</v>
      </c>
      <c r="D25" s="5">
        <v>800</v>
      </c>
      <c r="E25" s="5">
        <v>45</v>
      </c>
      <c r="F25" s="5" t="s">
        <v>26</v>
      </c>
      <c r="G25" s="20">
        <f>IF(ISBLANK(D25),MEDIAN($D$2:$D$35),D25)</f>
        <v>800</v>
      </c>
      <c r="H25" s="5" t="s">
        <v>26</v>
      </c>
      <c r="I25" s="22" t="str">
        <f t="shared" si="0"/>
        <v>29 SEP</v>
      </c>
      <c r="J25" t="str">
        <f t="shared" si="1"/>
        <v>CA</v>
      </c>
      <c r="K25" t="str">
        <f t="shared" si="2"/>
        <v>Smartphone Google</v>
      </c>
      <c r="L25" s="24">
        <f t="shared" si="3"/>
        <v>44468</v>
      </c>
    </row>
    <row r="26" spans="1:12" ht="15.75" customHeight="1" x14ac:dyDescent="0.2">
      <c r="A26" s="8" t="s">
        <v>94</v>
      </c>
      <c r="B26" s="8" t="s">
        <v>77</v>
      </c>
      <c r="C26" s="8" t="s">
        <v>95</v>
      </c>
      <c r="D26" s="8"/>
      <c r="E26" s="8">
        <v>25</v>
      </c>
      <c r="F26" s="8" t="s">
        <v>30</v>
      </c>
      <c r="G26" s="20">
        <f>IF(ISBLANK(D26),MEDIAN($D$2:$D$35),D26)</f>
        <v>130</v>
      </c>
      <c r="H26" s="8" t="s">
        <v>30</v>
      </c>
      <c r="I26" s="22" t="str">
        <f t="shared" si="0"/>
        <v>03 JUN</v>
      </c>
      <c r="J26" t="str">
        <f t="shared" si="1"/>
        <v>CA</v>
      </c>
      <c r="K26" t="str">
        <f t="shared" si="2"/>
        <v>Sunglasses Ray-Ban</v>
      </c>
      <c r="L26" s="24">
        <f t="shared" si="3"/>
        <v>44350</v>
      </c>
    </row>
    <row r="27" spans="1:12" ht="15.75" customHeight="1" x14ac:dyDescent="0.2">
      <c r="A27" s="5" t="s">
        <v>96</v>
      </c>
      <c r="B27" s="5" t="s">
        <v>48</v>
      </c>
      <c r="C27" s="5" t="s">
        <v>97</v>
      </c>
      <c r="D27" s="5">
        <v>400</v>
      </c>
      <c r="E27" s="5">
        <v>40</v>
      </c>
      <c r="F27" s="5" t="s">
        <v>34</v>
      </c>
      <c r="G27" s="20">
        <f>IF(ISBLANK(D27),MEDIAN($D$2:$D$35),D27)</f>
        <v>400</v>
      </c>
      <c r="H27" s="5" t="s">
        <v>34</v>
      </c>
      <c r="I27" s="22" t="str">
        <f t="shared" si="0"/>
        <v>11 JUL</v>
      </c>
      <c r="J27" t="str">
        <f t="shared" si="1"/>
        <v>CA</v>
      </c>
      <c r="K27" t="str">
        <f t="shared" si="2"/>
        <v>Blender Vitamix</v>
      </c>
      <c r="L27" s="24">
        <f t="shared" si="3"/>
        <v>44388</v>
      </c>
    </row>
    <row r="28" spans="1:12" ht="15.75" customHeight="1" x14ac:dyDescent="0.2">
      <c r="A28" s="5" t="s">
        <v>98</v>
      </c>
      <c r="B28" s="5" t="s">
        <v>99</v>
      </c>
      <c r="C28" s="5" t="s">
        <v>100</v>
      </c>
      <c r="D28" s="5">
        <v>60</v>
      </c>
      <c r="E28" s="5">
        <v>30</v>
      </c>
      <c r="F28" s="5" t="s">
        <v>30</v>
      </c>
      <c r="G28" s="20">
        <f>IF(ISBLANK(D28),MEDIAN($D$2:$D$35),D28)</f>
        <v>60</v>
      </c>
      <c r="H28" s="5" t="s">
        <v>30</v>
      </c>
      <c r="I28" s="22" t="str">
        <f t="shared" si="0"/>
        <v>07 MAR</v>
      </c>
      <c r="J28" t="str">
        <f t="shared" si="1"/>
        <v>CA</v>
      </c>
      <c r="K28" t="str">
        <f t="shared" si="2"/>
        <v>Dress Zara</v>
      </c>
      <c r="L28" s="24">
        <f t="shared" si="3"/>
        <v>44262</v>
      </c>
    </row>
    <row r="29" spans="1:12" ht="15.75" customHeight="1" x14ac:dyDescent="0.2">
      <c r="A29" s="8" t="s">
        <v>101</v>
      </c>
      <c r="B29" s="8" t="s">
        <v>102</v>
      </c>
      <c r="C29" s="8" t="s">
        <v>103</v>
      </c>
      <c r="D29" s="8">
        <v>40</v>
      </c>
      <c r="E29" s="8">
        <v>10</v>
      </c>
      <c r="F29" s="8" t="s">
        <v>34</v>
      </c>
      <c r="G29" s="20">
        <f>IF(ISBLANK(D29),MEDIAN($D$2:$D$35),D29)</f>
        <v>40</v>
      </c>
      <c r="H29" s="8" t="s">
        <v>34</v>
      </c>
      <c r="I29" s="22" t="str">
        <f t="shared" si="0"/>
        <v>13 APR</v>
      </c>
      <c r="J29" t="str">
        <f t="shared" si="1"/>
        <v>CA</v>
      </c>
      <c r="K29" t="str">
        <f t="shared" si="2"/>
        <v>Toaster Hamilton</v>
      </c>
      <c r="L29" s="24">
        <f t="shared" si="3"/>
        <v>44299</v>
      </c>
    </row>
    <row r="30" spans="1:12" ht="15.75" customHeight="1" x14ac:dyDescent="0.2">
      <c r="A30" s="5" t="s">
        <v>104</v>
      </c>
      <c r="B30" s="5" t="s">
        <v>89</v>
      </c>
      <c r="C30" s="5" t="s">
        <v>105</v>
      </c>
      <c r="D30" s="5">
        <v>130</v>
      </c>
      <c r="E30" s="5">
        <v>5</v>
      </c>
      <c r="F30" s="5" t="s">
        <v>26</v>
      </c>
      <c r="G30" s="20">
        <f>IF(ISBLANK(D30),MEDIAN($D$2:$D$35),D30)</f>
        <v>130</v>
      </c>
      <c r="H30" s="5" t="s">
        <v>26</v>
      </c>
      <c r="I30" s="22" t="str">
        <f t="shared" si="0"/>
        <v>24 MAY</v>
      </c>
      <c r="J30" t="str">
        <f t="shared" si="1"/>
        <v>CA</v>
      </c>
      <c r="K30" t="str">
        <f t="shared" si="2"/>
        <v>Fitness Tracker Garmin</v>
      </c>
      <c r="L30" s="24">
        <f t="shared" si="3"/>
        <v>44340</v>
      </c>
    </row>
    <row r="31" spans="1:12" ht="15.75" customHeight="1" x14ac:dyDescent="0.2">
      <c r="A31" s="8" t="s">
        <v>106</v>
      </c>
      <c r="B31" s="8" t="s">
        <v>107</v>
      </c>
      <c r="C31" s="8" t="s">
        <v>108</v>
      </c>
      <c r="D31" s="8">
        <v>50</v>
      </c>
      <c r="E31" s="8">
        <v>50</v>
      </c>
      <c r="F31" s="8" t="s">
        <v>30</v>
      </c>
      <c r="G31" s="20">
        <f>IF(ISBLANK(D31),MEDIAN($D$2:$D$35),D31)</f>
        <v>50</v>
      </c>
      <c r="H31" s="8" t="s">
        <v>30</v>
      </c>
      <c r="I31" s="22" t="str">
        <f t="shared" si="0"/>
        <v>02 DEC</v>
      </c>
      <c r="J31" t="str">
        <f t="shared" si="1"/>
        <v>CA</v>
      </c>
      <c r="K31" t="str">
        <f t="shared" si="2"/>
        <v>Jeans Levi's</v>
      </c>
      <c r="L31" s="24">
        <f t="shared" si="3"/>
        <v>44532</v>
      </c>
    </row>
    <row r="32" spans="1:12" ht="15.75" customHeight="1" x14ac:dyDescent="0.2">
      <c r="A32" s="8" t="s">
        <v>109</v>
      </c>
      <c r="B32" s="8" t="s">
        <v>110</v>
      </c>
      <c r="C32" s="8" t="s">
        <v>111</v>
      </c>
      <c r="D32" s="8">
        <v>100</v>
      </c>
      <c r="E32" s="8">
        <v>20</v>
      </c>
      <c r="F32" s="8" t="s">
        <v>71</v>
      </c>
      <c r="G32" s="20">
        <f>IF(ISBLANK(D32),MEDIAN($D$2:$D$35),D32)</f>
        <v>100</v>
      </c>
      <c r="H32" s="8" t="s">
        <v>71</v>
      </c>
      <c r="I32" s="22" t="str">
        <f t="shared" si="0"/>
        <v>09 JUL</v>
      </c>
      <c r="J32" t="str">
        <f t="shared" si="1"/>
        <v>FR</v>
      </c>
      <c r="K32" t="str">
        <f t="shared" si="2"/>
        <v>Watch Casio</v>
      </c>
      <c r="L32" s="24">
        <f t="shared" si="3"/>
        <v>44386</v>
      </c>
    </row>
    <row r="33" spans="1:2" ht="15.75" customHeight="1" x14ac:dyDescent="0.2"/>
    <row r="34" spans="1:2" ht="15.75" customHeight="1" x14ac:dyDescent="0.2">
      <c r="A34" s="11" t="s">
        <v>113</v>
      </c>
      <c r="B34" s="12"/>
    </row>
    <row r="35" spans="1:2" ht="15.75" customHeight="1" x14ac:dyDescent="0.2">
      <c r="A35" s="13" t="s">
        <v>114</v>
      </c>
      <c r="B35" s="12">
        <f>COUNTBLANK(D2:D32)</f>
        <v>3</v>
      </c>
    </row>
    <row r="36" spans="1:2" ht="15.75" customHeight="1" x14ac:dyDescent="0.2">
      <c r="A36" s="10" t="s">
        <v>115</v>
      </c>
      <c r="B36" s="12">
        <f>COUNTBLANK(F2:F32)</f>
        <v>4</v>
      </c>
    </row>
    <row r="37" spans="1:2" ht="15.75" customHeight="1" x14ac:dyDescent="0.2"/>
    <row r="38" spans="1:2" ht="15.75" customHeight="1" x14ac:dyDescent="0.2"/>
    <row r="39" spans="1:2" ht="15.75" customHeight="1" x14ac:dyDescent="0.2"/>
    <row r="40" spans="1:2" ht="15.75" customHeight="1" x14ac:dyDescent="0.2"/>
    <row r="41" spans="1:2" ht="15.75" customHeight="1" x14ac:dyDescent="0.2"/>
    <row r="42" spans="1:2" ht="15.75" customHeight="1" x14ac:dyDescent="0.2"/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</sheetData>
  <conditionalFormatting sqref="G1:G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{602F2D57-A7F5-402D-A2B3-6ABFE7D49BC8}</x14:id>
        </ext>
      </extLst>
    </cfRule>
  </conditionalFormatting>
  <pageMargins left="0.7" right="0.7" top="0.75" bottom="0.75" header="0.3" footer="0.3"/>
  <pageSetup paperSize="9" scale="53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2F2D57-A7F5-402D-A2B3-6ABFE7D49B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containsText" priority="1" operator="containsText" id="{6CD53833-47D1-4493-8260-D368824DB877}">
            <xm:f>NOT(ISERROR(SEARCH($H$2,H2)))</xm:f>
            <xm:f>$H$2</xm:f>
            <x14:dxf>
              <font>
                <b/>
                <i val="0"/>
                <strike val="0"/>
                <u val="none"/>
                <color theme="1"/>
              </font>
              <fill>
                <patternFill>
                  <bgColor rgb="FFFFFF00"/>
                </patternFill>
              </fill>
            </x14:dxf>
          </x14:cfRule>
          <xm:sqref>H2:H32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Fazil Nazeer</dc:creator>
  <cp:lastModifiedBy>Fazil Nazeer</cp:lastModifiedBy>
  <cp:lastPrinted>2026-08-26T17:04:08Z</cp:lastPrinted>
  <dcterms:created xsi:type="dcterms:W3CDTF">2026-08-26T17:41:11Z</dcterms:created>
  <dcterms:modified xsi:type="dcterms:W3CDTF">2026-08-26T17:42:46Z</dcterms:modified>
</cp:coreProperties>
</file>